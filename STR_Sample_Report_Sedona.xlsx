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Revenue &amp; Occupancy" sheetId="2" state="visible" r:id="rId4"/>
    <sheet name="Comp Set" sheetId="3" state="visible" r:id="rId5"/>
    <sheet name="Amenity Research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<sst xmlns="http://schemas.openxmlformats.org/spreadsheetml/2006/main" count="100" uniqueCount="71">
  <si>
    <t xml:space="preserve">STR Market Report — Sample / Demonstration</t>
  </si>
  <si>
    <t xml:space="preserve">Built by Bishal Chandra Debnath as a work sample. Data below is illustrative (not pulled from a live AirDNA account) and structured to show reporting approach, sourcing discipline, and QA logic.</t>
  </si>
  <si>
    <t xml:space="preserve">Property Snapshot</t>
  </si>
  <si>
    <t xml:space="preserve">Market</t>
  </si>
  <si>
    <t xml:space="preserve">Sedona, AZ</t>
  </si>
  <si>
    <t xml:space="preserve">Property Type</t>
  </si>
  <si>
    <t xml:space="preserve">3BR / 2BA Desert Modern Home</t>
  </si>
  <si>
    <t xml:space="preserve">Bedrooms / Bathrooms</t>
  </si>
  <si>
    <t xml:space="preserve">3 BR / 2 BA</t>
  </si>
  <si>
    <t xml:space="preserve">Max Guests</t>
  </si>
  <si>
    <t xml:space="preserve">Report Date</t>
  </si>
  <si>
    <t xml:space="preserve">2026-09-10</t>
  </si>
  <si>
    <t xml:space="preserve">Prepared By</t>
  </si>
  <si>
    <t xml:space="preserve">Bishal Chandra Debnath</t>
  </si>
  <si>
    <t xml:space="preserve">Comp Set Size</t>
  </si>
  <si>
    <t xml:space="preserve">Data Source</t>
  </si>
  <si>
    <t xml:space="preserve">Illustrative sample data (AirDNA-style structure)</t>
  </si>
  <si>
    <t xml:space="preserve">Month</t>
  </si>
  <si>
    <t xml:space="preserve">Occupancy %</t>
  </si>
  <si>
    <t xml:space="preserve">ADR ($)</t>
  </si>
  <si>
    <t xml:space="preserve">RevPAR ($)</t>
  </si>
  <si>
    <t xml:space="preserve">Monthly Revenue ($)</t>
  </si>
  <si>
    <t xml:space="preserve">QA Check</t>
  </si>
  <si>
    <t xml:space="preserve">Jan</t>
  </si>
  <si>
    <t xml:space="preserve">Illustrative — sample AirDNA-style comp set</t>
  </si>
  <si>
    <t xml:space="preserve">OK — within seasonal comp range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</si>
  <si>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</si>
  <si>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</si>
  <si>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</si>
  <si>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</si>
  <si>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</si>
  <si>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</si>
  <si>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</si>
  <si>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</si>
  <si>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</si>
  <si>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</si>
  <si>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</si>
  <si>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Annual Total / Avg</t>
  </si>
  <si>
    <t xml:space="preserve">Listing (Anonymized)</t>
  </si>
  <si>
    <t xml:space="preserve">Bedrooms</t>
  </si>
  <si>
    <t xml:space="preserve">Est. Annual Revenue ($)</t>
  </si>
  <si>
    <t xml:space="preserve">Notable Amenities</t>
  </si>
  <si>
    <t xml:space="preserve">Outlier Flag</t>
  </si>
  <si>
    <t xml:space="preserve">Comp A</t>
  </si>
  <si>
    <t xml:space="preserve">Private pool, mountain view</t>
  </si>
  <si>
    <t xml:space="preserve">No</t>
  </si>
  <si>
    <t xml:space="preserve">Comp B</t>
  </si>
  <si>
    <t xml:space="preserve">Hot tub, fire pit</t>
  </si>
  <si>
    <t xml:space="preserve">Comp C</t>
  </si>
  <si>
    <t xml:space="preserve">Private pool, game room, EV charger</t>
  </si>
  <si>
    <t xml:space="preserve">Comp D</t>
  </si>
  <si>
    <t xml:space="preserve">Standard finishes, no pool</t>
  </si>
  <si>
    <t xml:space="preserve">Yes — below comp range, flagged for exclusion</t>
  </si>
  <si>
    <t xml:space="preserve">Comp E</t>
  </si>
  <si>
    <t xml:space="preserve">Hot tub, outdoor kitchen</t>
  </si>
  <si>
    <t xml:space="preserve">Comp F</t>
  </si>
  <si>
    <t xml:space="preserve">Private pool, dedicated workspace</t>
  </si>
  <si>
    <t xml:space="preserve">Comp D excluded from averages — its occupancy and revenue sit well outside the range of the other 5 comps, and its listing description shows dated finishes / no pool, consistent with the shortfall. Flagging outliers before they skew the comp average is exactly the kind of check the sheet is built to surface.</t>
  </si>
  <si>
    <t xml:space="preserve">Local Amenities &amp; Seasonality Drivers (Illustrative)</t>
  </si>
  <si>
    <t xml:space="preserve">Amenity</t>
  </si>
  <si>
    <t xml:space="preserve">Observation / Recommendation</t>
  </si>
  <si>
    <t xml:space="preserve">Private pool</t>
  </si>
  <si>
    <t xml:space="preserve">Present in 4 of 6 top-performing comps; strongly correlated with higher ADR in this market's hot months.</t>
  </si>
  <si>
    <t xml:space="preserve">Hot tub</t>
  </si>
  <si>
    <t xml:space="preserve">Common amenity across comp set; less differentiating than pool given market saturation.</t>
  </si>
  <si>
    <t xml:space="preserve">Proximity to Red Rock trailheads</t>
  </si>
  <si>
    <t xml:space="preserve">Top driver of spring/fall bookings — market's peak season aligns with hiking season, not just weather.</t>
  </si>
  <si>
    <t xml:space="preserve">EV charger</t>
  </si>
  <si>
    <t xml:space="preserve">Rare in comp set (1 of 6); minor differentiator, not a primary revenue driver here.</t>
  </si>
  <si>
    <t xml:space="preserve">Dedicated workspace</t>
  </si>
  <si>
    <t xml:space="preserve">Shows up in listings targeting shoulder-season remote-work travelers — worth highlighting if targeting that segment.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</si>
</sst>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CC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2"/>
    <col collapsed="false" customWidth="true" hidden="false" outlineLevel="0" max="6" min="3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6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4" t="s">
        <v>7</v>
      </c>
      <c r="B7" s="5" t="s">
        <v>8</v>
      </c>
    </row>
    <row r="8" customFormat="false" ht="15" hidden="false" customHeight="false" outlineLevel="0" collapsed="false">
      <c r="A8" s="4" t="s">
        <v>9</v>
      </c>
      <c r="B8" s="5" t="n">
        <v>8</v>
      </c>
    </row>
    <row r="9" customFormat="false" ht="15" hidden="false" customHeight="false" outlineLevel="0" collapsed="false">
      <c r="A9" s="4" t="s">
        <v>10</v>
      </c>
      <c r="B9" s="5" t="s">
        <v>11</v>
      </c>
    </row>
    <row r="10" customFormat="false" ht="15" hidden="false" customHeight="false" outlineLevel="0" collapsed="false">
      <c r="A10" s="4" t="s">
        <v>12</v>
      </c>
      <c r="B10" s="5" t="s">
        <v>13</v>
      </c>
    </row>
    <row r="11" customFormat="false" ht="15" hidden="false" customHeight="false" outlineLevel="0" collapsed="false">
      <c r="A11" s="4" t="s">
        <v>14</v>
      </c>
      <c r="B11" s="5" t="n">
        <v>12</v>
      </c>
    </row>
    <row r="12" customFormat="false" ht="15" hidden="false" customHeight="false" outlineLevel="0" collapsed="false">
      <c r="A12" s="4" t="s">
        <v>15</v>
      </c>
      <c r="B12" s="5" t="s">
        <v>16</v>
      </c>
    </row>
  </sheetData>
  <mergeCells count="2">
    <mergeCell ref="A1:D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32"/>
    <col collapsed="false" customWidth="true" hidden="false" outlineLevel="0" max="7" min="7" style="0" width="28"/>
  </cols>
  <sheetData>
    <row r="1" customFormat="false" ht="26.85" hidden="false" customHeight="false" outlineLevel="0" collapsed="false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15</v>
      </c>
      <c r="G1" s="6" t="s">
        <v>22</v>
      </c>
    </row>
    <row r="2" customFormat="false" ht="15" hidden="false" customHeight="false" outlineLevel="0" collapsed="false">
      <c r="A2" s="5" t="s">
        <v>23</v>
      </c>
      <c r="B2" s="7" t="n">
        <v>0.61</v>
      </c>
      <c r="C2" s="8" t="n">
        <v>285</v>
      </c>
      <c r="D2" s="8" t="n">
        <f aca="false">C2*B2</f>
        <v>173.85</v>
      </c>
      <c r="E2" s="8" t="n">
        <f aca="false">D2*30</f>
        <v>5215.5</v>
      </c>
      <c r="F2" s="9" t="s">
        <v>24</v>
      </c>
      <c r="G2" s="9" t="s">
        <v>25</v>
      </c>
    </row>
    <row r="3" customFormat="false" ht="15" hidden="false" customHeight="false" outlineLevel="0" collapsed="false">
      <c r="A3" s="5" t="s">
        <v>26</v>
      </c>
      <c r="B3" s="7" t="n">
        <v>0.68</v>
      </c>
      <c r="C3" s="8" t="n">
        <v>295</v>
      </c>
      <c r="D3" s="8" t="n">
        <f aca="false">C3*B3</f>
        <v>200.6</v>
      </c>
      <c r="E3" s="8" t="n">
        <f aca="false">D3*30</f>
        <v>6018</v>
      </c>
      <c r="F3" s="9" t="s">
        <v>24</v>
      </c>
      <c r="G3" s="9" t="s">
        <v>25</v>
      </c>
    </row>
    <row r="4" customFormat="false" ht="15" hidden="false" customHeight="false" outlineLevel="0" collapsed="false">
      <c r="A4" s="5" t="s">
        <v>27</v>
      </c>
      <c r="B4" s="7" t="n">
        <v>0.82</v>
      </c>
      <c r="C4" s="8" t="n">
        <v>340</v>
      </c>
      <c r="D4" s="8" t="n">
        <f aca="false">C4*B4</f>
        <v>278.8</v>
      </c>
      <c r="E4" s="8" t="n">
        <f aca="false">D4*30</f>
        <v>8364</v>
      </c>
      <c r="F4" s="9" t="s">
        <v>24</v>
      </c>
      <c r="G4" s="9" t="s">
        <v>25</v>
      </c>
    </row>
    <row r="5" customFormat="false" ht="15" hidden="false" customHeight="false" outlineLevel="0" collapsed="false">
      <c r="A5" s="5" t="s">
        <v>28</v>
      </c>
      <c r="B5" s="7" t="n">
        <v>0.79</v>
      </c>
      <c r="C5" s="8" t="n">
        <v>355</v>
      </c>
      <c r="D5" s="8" t="n">
        <f aca="false">C5*B5</f>
        <v>280.45</v>
      </c>
      <c r="E5" s="8" t="n">
        <f aca="false">D5*30</f>
        <v>8413.5</v>
      </c>
      <c r="F5" s="9" t="s">
        <v>24</v>
      </c>
      <c r="G5" s="9" t="s">
        <v>25</v>
      </c>
    </row>
    <row r="6" customFormat="false" ht="15" hidden="false" customHeight="false" outlineLevel="0" collapsed="false">
      <c r="A6" s="5" t="s">
        <v>29</v>
      </c>
      <c r="B6" s="7" t="n">
        <v>0.58</v>
      </c>
      <c r="C6" s="8" t="n">
        <v>300</v>
      </c>
      <c r="D6" s="8" t="n">
        <f aca="false">C6*B6</f>
        <v>174</v>
      </c>
      <c r="E6" s="8" t="n">
        <f aca="false">D6*30</f>
        <v>5220</v>
      </c>
      <c r="F6" s="9" t="s">
        <v>24</v>
      </c>
      <c r="G6" s="9" t="s">
        <v>25</v>
      </c>
    </row>
    <row r="7" customFormat="false" ht="15" hidden="false" customHeight="false" outlineLevel="0" collapsed="false">
      <c r="A7" s="5" t="s">
        <v>30</v>
      </c>
      <c r="B7" s="7" t="n">
        <v>0.41</v>
      </c>
      <c r="C7" s="8" t="n">
        <v>240</v>
      </c>
      <c r="D7" s="8" t="n">
        <f aca="false">C7*B7</f>
        <v>98.4</v>
      </c>
      <c r="E7" s="8" t="n">
        <f aca="false">D7*30</f>
        <v>2952</v>
      </c>
      <c r="F7" s="9" t="s">
        <v>24</v>
      </c>
      <c r="G7" s="9" t="s">
        <v>25</v>
      </c>
    </row>
    <row r="8" customFormat="false" ht="15" hidden="false" customHeight="false" outlineLevel="0" collapsed="false">
      <c r="A8" s="5" t="s">
        <v>31</v>
      </c>
      <c r="B8" s="7" t="n">
        <v>0.38</v>
      </c>
      <c r="C8" s="8" t="n">
        <v>225</v>
      </c>
      <c r="D8" s="8" t="n">
        <f aca="false">C8*B8</f>
        <v>85.5</v>
      </c>
      <c r="E8" s="8" t="n">
        <f aca="false">D8*30</f>
        <v>2565</v>
      </c>
      <c r="F8" s="9" t="s">
        <v>24</v>
      </c>
      <c r="G8" s="9" t="s">
        <v>25</v>
      </c>
    </row>
    <row r="9" customFormat="false" ht="15" hidden="false" customHeight="false" outlineLevel="0" collapsed="false">
      <c r="A9" s="5" t="s">
        <v>32</v>
      </c>
      <c r="B9" s="7" t="n">
        <v>0.4</v>
      </c>
      <c r="C9" s="8" t="n">
        <v>230</v>
      </c>
      <c r="D9" s="8" t="n">
        <f aca="false">C9*B9</f>
        <v>92</v>
      </c>
      <c r="E9" s="8" t="n">
        <f aca="false">D9*30</f>
        <v>2760</v>
      </c>
      <c r="F9" s="9" t="s">
        <v>24</v>
      </c>
      <c r="G9" s="9" t="s">
        <v>25</v>
      </c>
    </row>
    <row r="10" customFormat="false" ht="15" hidden="false" customHeight="false" outlineLevel="0" collapsed="false">
      <c r="A10" s="5" t="s">
        <v>33</v>
      </c>
      <c r="B10" s="7" t="n">
        <v>0.55</v>
      </c>
      <c r="C10" s="8" t="n">
        <v>270</v>
      </c>
      <c r="D10" s="8" t="n">
        <f aca="false">C10*B10</f>
        <v>148.5</v>
      </c>
      <c r="E10" s="8" t="n">
        <f aca="false">D10*30</f>
        <v>4455</v>
      </c>
      <c r="F10" s="9" t="s">
        <v>24</v>
      </c>
      <c r="G10" s="9" t="s">
        <v>25</v>
      </c>
    </row>
    <row r="11" customFormat="false" ht="15" hidden="false" customHeight="false" outlineLevel="0" collapsed="false">
      <c r="A11" s="5" t="s">
        <v>34</v>
      </c>
      <c r="B11" s="7" t="n">
        <v>0.77</v>
      </c>
      <c r="C11" s="8" t="n">
        <v>330</v>
      </c>
      <c r="D11" s="8" t="n">
        <f aca="false">C11*B11</f>
        <v>254.1</v>
      </c>
      <c r="E11" s="8" t="n">
        <f aca="false">D11*30</f>
        <v>7623</v>
      </c>
      <c r="F11" s="9" t="s">
        <v>24</v>
      </c>
      <c r="G11" s="9" t="s">
        <v>25</v>
      </c>
    </row>
    <row r="12" customFormat="false" ht="15" hidden="false" customHeight="false" outlineLevel="0" collapsed="false">
      <c r="A12" s="5" t="s">
        <v>35</v>
      </c>
      <c r="B12" s="7" t="n">
        <v>0.7</v>
      </c>
      <c r="C12" s="8" t="n">
        <v>310</v>
      </c>
      <c r="D12" s="8" t="n">
        <f aca="false">C12*B12</f>
        <v>217</v>
      </c>
      <c r="E12" s="8" t="n">
        <f aca="false">D12*30</f>
        <v>6510</v>
      </c>
      <c r="F12" s="9" t="s">
        <v>24</v>
      </c>
      <c r="G12" s="9" t="s">
        <v>25</v>
      </c>
    </row>
    <row r="13" customFormat="false" ht="15" hidden="false" customHeight="false" outlineLevel="0" collapsed="false">
      <c r="A13" s="5" t="s">
        <v>36</v>
      </c>
      <c r="B13" s="7" t="n">
        <v>0.64</v>
      </c>
      <c r="C13" s="8" t="n">
        <v>300</v>
      </c>
      <c r="D13" s="8" t="n">
        <f aca="false">C13*B13</f>
        <v>192</v>
      </c>
      <c r="E13" s="8" t="n">
        <f aca="false">D13*30</f>
        <v>5760</v>
      </c>
      <c r="F13" s="9" t="s">
        <v>24</v>
      </c>
      <c r="G13" s="9" t="s">
        <v>25</v>
      </c>
    </row>
    <row r="14" customFormat="false" ht="15" hidden="false" customHeight="false" outlineLevel="0" collapsed="false">
      <c r="A14" s="4" t="s">
        <v>37</v>
      </c>
      <c r="B14" s="10" t="n">
        <f aca="false">AVERAGE(B2:B13)</f>
        <v>0.610833333333333</v>
      </c>
      <c r="C14" s="11" t="n">
        <f aca="false">AVERAGE(C2:C13)</f>
        <v>290</v>
      </c>
      <c r="D14" s="11" t="n">
        <f aca="false">AVERAGE(D2:D13)</f>
        <v>182.933333333333</v>
      </c>
      <c r="E14" s="11" t="n">
        <f aca="false">SUM(E2:E13)</f>
        <v>65856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7" min="6" style="0" width="34"/>
  </cols>
  <sheetData>
    <row r="1" customFormat="false" ht="26.85" hidden="false" customHeight="false" outlineLevel="0" collapsed="false">
      <c r="A1" s="6" t="s">
        <v>38</v>
      </c>
      <c r="B1" s="6" t="s">
        <v>39</v>
      </c>
      <c r="C1" s="6" t="s">
        <v>40</v>
      </c>
      <c r="D1" s="6" t="s">
        <v>18</v>
      </c>
      <c r="E1" s="6" t="s">
        <v>19</v>
      </c>
      <c r="F1" s="6" t="s">
        <v>41</v>
      </c>
      <c r="G1" s="6" t="s">
        <v>42</v>
      </c>
    </row>
    <row r="2" customFormat="false" ht="15" hidden="false" customHeight="false" outlineLevel="0" collapsed="false">
      <c r="A2" s="5" t="s">
        <v>43</v>
      </c>
      <c r="B2" s="5" t="n">
        <v>3</v>
      </c>
      <c r="C2" s="8" t="n">
        <v>118500</v>
      </c>
      <c r="D2" s="7" t="n">
        <v>0.64</v>
      </c>
      <c r="E2" s="8" t="n">
        <v>305</v>
      </c>
      <c r="F2" s="5" t="s">
        <v>44</v>
      </c>
      <c r="G2" s="5" t="s">
        <v>45</v>
      </c>
    </row>
    <row r="3" customFormat="false" ht="15" hidden="false" customHeight="false" outlineLevel="0" collapsed="false">
      <c r="A3" s="5" t="s">
        <v>46</v>
      </c>
      <c r="B3" s="5" t="n">
        <v>3</v>
      </c>
      <c r="C3" s="8" t="n">
        <v>96200</v>
      </c>
      <c r="D3" s="7" t="n">
        <v>0.58</v>
      </c>
      <c r="E3" s="8" t="n">
        <v>270</v>
      </c>
      <c r="F3" s="5" t="s">
        <v>47</v>
      </c>
      <c r="G3" s="5" t="s">
        <v>45</v>
      </c>
    </row>
    <row r="4" customFormat="false" ht="15" hidden="false" customHeight="false" outlineLevel="0" collapsed="false">
      <c r="A4" s="5" t="s">
        <v>48</v>
      </c>
      <c r="B4" s="5" t="n">
        <v>3</v>
      </c>
      <c r="C4" s="8" t="n">
        <v>142800</v>
      </c>
      <c r="D4" s="7" t="n">
        <v>0.71</v>
      </c>
      <c r="E4" s="8" t="n">
        <v>330</v>
      </c>
      <c r="F4" s="5" t="s">
        <v>49</v>
      </c>
      <c r="G4" s="5" t="s">
        <v>45</v>
      </c>
    </row>
    <row r="5" customFormat="false" ht="15" hidden="false" customHeight="false" outlineLevel="0" collapsed="false">
      <c r="A5" s="5" t="s">
        <v>50</v>
      </c>
      <c r="B5" s="5" t="n">
        <v>4</v>
      </c>
      <c r="C5" s="8" t="n">
        <v>61000</v>
      </c>
      <c r="D5" s="7" t="n">
        <v>0.42</v>
      </c>
      <c r="E5" s="8" t="n">
        <v>260</v>
      </c>
      <c r="F5" s="5" t="s">
        <v>51</v>
      </c>
      <c r="G5" s="12" t="s">
        <v>52</v>
      </c>
    </row>
    <row r="6" customFormat="false" ht="15" hidden="false" customHeight="false" outlineLevel="0" collapsed="false">
      <c r="A6" s="5" t="s">
        <v>53</v>
      </c>
      <c r="B6" s="5" t="n">
        <v>3</v>
      </c>
      <c r="C6" s="8" t="n">
        <v>109300</v>
      </c>
      <c r="D6" s="7" t="n">
        <v>0.62</v>
      </c>
      <c r="E6" s="8" t="n">
        <v>295</v>
      </c>
      <c r="F6" s="5" t="s">
        <v>54</v>
      </c>
      <c r="G6" s="5" t="s">
        <v>45</v>
      </c>
    </row>
    <row r="7" customFormat="false" ht="15" hidden="false" customHeight="false" outlineLevel="0" collapsed="false">
      <c r="A7" s="5" t="s">
        <v>55</v>
      </c>
      <c r="B7" s="5" t="n">
        <v>3</v>
      </c>
      <c r="C7" s="8" t="n">
        <v>127400</v>
      </c>
      <c r="D7" s="7" t="n">
        <v>0.68</v>
      </c>
      <c r="E7" s="8" t="n">
        <v>315</v>
      </c>
      <c r="F7" s="5" t="s">
        <v>56</v>
      </c>
      <c r="G7" s="5" t="s">
        <v>45</v>
      </c>
    </row>
    <row r="9" customFormat="false" ht="22.35" hidden="false" customHeight="true" outlineLevel="0" collapsed="false">
      <c r="A9" s="13" t="s">
        <v>57</v>
      </c>
      <c r="B9" s="13"/>
      <c r="C9" s="13"/>
      <c r="D9" s="13"/>
      <c r="E9" s="13"/>
      <c r="F9" s="13"/>
      <c r="G9" s="13"/>
    </row>
  </sheetData>
  <mergeCells count="1">
    <mergeCell ref="A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</cols>
  <sheetData>
    <row r="1" customFormat="false" ht="16.15" hidden="false" customHeight="false" outlineLevel="0" collapsed="false">
      <c r="A1" s="14" t="s">
        <v>58</v>
      </c>
      <c r="B1" s="14"/>
      <c r="C1" s="14"/>
    </row>
    <row r="3" customFormat="false" ht="15" hidden="false" customHeight="false" outlineLevel="0" collapsed="false">
      <c r="A3" s="15" t="s">
        <v>59</v>
      </c>
      <c r="B3" s="15" t="s">
        <v>60</v>
      </c>
    </row>
    <row r="4" customFormat="false" ht="30" hidden="false" customHeight="true" outlineLevel="0" collapsed="false">
      <c r="A4" s="5" t="s">
        <v>61</v>
      </c>
      <c r="B4" s="16" t="s">
        <v>62</v>
      </c>
    </row>
    <row r="5" customFormat="false" ht="30" hidden="false" customHeight="true" outlineLevel="0" collapsed="false">
      <c r="A5" s="5" t="s">
        <v>63</v>
      </c>
      <c r="B5" s="16" t="s">
        <v>64</v>
      </c>
    </row>
    <row r="6" customFormat="false" ht="30" hidden="false" customHeight="true" outlineLevel="0" collapsed="false">
      <c r="A6" s="5" t="s">
        <v>65</v>
      </c>
      <c r="B6" s="16" t="s">
        <v>66</v>
      </c>
    </row>
    <row r="7" customFormat="false" ht="30" hidden="false" customHeight="true" outlineLevel="0" collapsed="false">
      <c r="A7" s="5" t="s">
        <v>67</v>
      </c>
      <c r="B7" s="16" t="s">
        <v>68</v>
      </c>
    </row>
    <row r="8" customFormat="false" ht="30" hidden="false" customHeight="true" outlineLevel="0" collapsed="false">
      <c r="A8" s="5" t="s">
        <v>69</v>
      </c>
      <c r="B8" s="16" t="s">
        <v>70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2026-09-09T18:44:54Z</dcterms:created>
  <dc:creator>openpyxl</dc:creator>
  <dc:description/>
  <dc:language>en-US</dc:language>
  <cp:lastModifiedBy/>
  <dcterms:modified xsi:type="dcterms:W3CDTF">2026-09-09T18:44:54Z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